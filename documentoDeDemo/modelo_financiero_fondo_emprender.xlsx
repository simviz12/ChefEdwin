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chefEdwin\documentoDeDemo\"/>
    </mc:Choice>
  </mc:AlternateContent>
  <bookViews>
    <workbookView xWindow="0" yWindow="0" windowWidth="23040" windowHeight="9192" firstSheet="4" activeTab="7"/>
  </bookViews>
  <sheets>
    <sheet name="RESUMEN" sheetId="1" r:id="rId1"/>
    <sheet name="DETALLE NÓMINA" sheetId="2" r:id="rId2"/>
    <sheet name="TECNOLOGÍA" sheetId="3" r:id="rId3"/>
    <sheet name="MERCADEO Y VENTAS" sheetId="4" r:id="rId4"/>
    <sheet name="LEGAL Y ACTIVOS" sheetId="5" r:id="rId5"/>
    <sheet name="FLUJO DE CAJA" sheetId="6" r:id="rId6"/>
    <sheet name="PROYECCIÓN VENTAS" sheetId="7" r:id="rId7"/>
    <sheet name="INDICADORES" sheetId="9" r:id="rId8"/>
  </sheets>
  <calcPr calcId="162913"/>
</workbook>
</file>

<file path=xl/calcChain.xml><?xml version="1.0" encoding="utf-8"?>
<calcChain xmlns="http://schemas.openxmlformats.org/spreadsheetml/2006/main">
  <c r="D6" i="7" l="1"/>
  <c r="D5" i="7"/>
  <c r="D4" i="7"/>
  <c r="M6" i="6"/>
  <c r="L6" i="6"/>
  <c r="K6" i="6"/>
  <c r="J6" i="6"/>
  <c r="I6" i="6"/>
  <c r="H6" i="6"/>
  <c r="G6" i="6"/>
  <c r="F6" i="6"/>
  <c r="E6" i="6"/>
  <c r="D6" i="6"/>
  <c r="C6" i="6"/>
  <c r="B6" i="6"/>
  <c r="D6" i="5"/>
  <c r="D5" i="5"/>
  <c r="D8" i="5"/>
  <c r="D8" i="4"/>
  <c r="C7" i="9" s="1"/>
  <c r="D6" i="4"/>
  <c r="D5" i="4"/>
  <c r="D4" i="4"/>
  <c r="D6" i="3"/>
  <c r="D5" i="3"/>
  <c r="D4" i="3"/>
  <c r="D8" i="3" s="1"/>
  <c r="E6" i="2"/>
  <c r="E5" i="2"/>
  <c r="E8" i="2" s="1"/>
  <c r="B5" i="9" s="1"/>
  <c r="E4" i="2"/>
  <c r="B8" i="1"/>
  <c r="C4" i="9" s="1"/>
  <c r="D8" i="7" l="1"/>
  <c r="C5" i="9"/>
  <c r="C8" i="9"/>
  <c r="B8" i="9"/>
  <c r="B6" i="9"/>
  <c r="C6" i="9"/>
  <c r="C12" i="9"/>
  <c r="B12" i="9"/>
  <c r="B7" i="9"/>
  <c r="B4" i="9"/>
</calcChain>
</file>

<file path=xl/sharedStrings.xml><?xml version="1.0" encoding="utf-8"?>
<sst xmlns="http://schemas.openxmlformats.org/spreadsheetml/2006/main" count="91" uniqueCount="79">
  <si>
    <t>Modelo Financiero - Fondo Emprender (SENA)</t>
  </si>
  <si>
    <t>Rubro</t>
  </si>
  <si>
    <t>Valor (COP)</t>
  </si>
  <si>
    <t>Talento Humano</t>
  </si>
  <si>
    <t>Infraestructura Tecnológica</t>
  </si>
  <si>
    <t>Mercadeo y Ventas</t>
  </si>
  <si>
    <t>Legal y Activos</t>
  </si>
  <si>
    <t>GRAN TOTAL</t>
  </si>
  <si>
    <t>Resumen: El proyecto destina el 60% de los recursos a la generación de empleo formal calificado y el 29% a infraestructura tecnológica para desarrollo y operación del software.</t>
  </si>
  <si>
    <t>Detalle Nómina (Talento Humano)</t>
  </si>
  <si>
    <t>Cargo</t>
  </si>
  <si>
    <t>Cantidad</t>
  </si>
  <si>
    <t>Meses</t>
  </si>
  <si>
    <t>Valor Mensual</t>
  </si>
  <si>
    <t>Total</t>
  </si>
  <si>
    <t>TOTAL NÓMINA</t>
  </si>
  <si>
    <t>Concepto</t>
  </si>
  <si>
    <t>Valor Unitario</t>
  </si>
  <si>
    <t>Servidor / Hosting (AWS, Azure) - 12 meses</t>
  </si>
  <si>
    <t>Licencias Software (CRM, herramientas) - 12 meses</t>
  </si>
  <si>
    <t>TOTAL TECNOLOGÍA</t>
  </si>
  <si>
    <t>Actividad</t>
  </si>
  <si>
    <t>Costo Unitario</t>
  </si>
  <si>
    <t>Campañas digitales (Facebook, Google) - 6 meses</t>
  </si>
  <si>
    <t>Diseño de Marca e identidad visual</t>
  </si>
  <si>
    <t>TOTAL MERCADEO</t>
  </si>
  <si>
    <t>Constitución Empresa (Cámara de Comercio, RUT)</t>
  </si>
  <si>
    <t>TOTAL LEGAL/ACTIVOS</t>
  </si>
  <si>
    <t>Flujo de Caja (Año 1)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</si>
  <si>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</si>
  <si>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</si>
  <si>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</si>
  <si>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</si>
  <si>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</si>
  <si>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</si>
  <si>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</si>
  <si>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</si>
  <si>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</si>
  <si>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</si>
  <si>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</si>
  <si>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</si>
  <si>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Ingresos</t>
  </si>
  <si>
    <t>Egresos</t>
  </si>
  <si>
    <t>Saldo</t>
  </si>
  <si>
    <t>Nota: El déficit operativo se cubre con el Capital Semilla del Fondo Emprender.</t>
  </si>
  <si>
    <t>Proyección de Ventas (3 Años)</t>
  </si>
  <si>
    <t>Año</t>
  </si>
  <si>
    <t>Sedes Vendidas</t>
  </si>
  <si>
    <t>Precio por Sede (anual)</t>
  </si>
  <si>
    <t>Total Ventas</t>
  </si>
  <si>
    <t>TOTAL 3 AÑOS</t>
  </si>
  <si>
    <t>Indicadores Clave</t>
  </si>
  <si>
    <t>Indicador</t>
  </si>
  <si>
    <t>Fórmula</t>
  </si>
  <si>
    <t>Valor</t>
  </si>
  <si>
    <t>Meta / Comentario</t>
  </si>
  <si>
    <t>Inversión Total (Capital Semilla)</t>
  </si>
  <si>
    <t>Debe ser 126,000,000 COP</t>
  </si>
  <si>
    <t>Total Nómina</t>
  </si>
  <si>
    <t>Cubre equipo base de operación</t>
  </si>
  <si>
    <t>Total Tecnología</t>
  </si>
  <si>
    <t>Infraestructura, licencias, equipos</t>
  </si>
  <si>
    <t>Total Mercadeo</t>
  </si>
  <si>
    <t>Adquisición y activación comercial</t>
  </si>
  <si>
    <t>Total Legal/Activos</t>
  </si>
  <si>
    <t>Formalización y activos mínimos</t>
  </si>
  <si>
    <t>CAC aproximado (Año 1)</t>
  </si>
  <si>
    <t>Mercadeo / clientes año 1</t>
  </si>
  <si>
    <t>Burn mensual (Meses 1-6)</t>
  </si>
  <si>
    <t>Egresos netos promedio primeros 6 meses</t>
  </si>
  <si>
    <t>Runway (meses)</t>
  </si>
  <si>
    <t>Tiempo estimado con capital semilla</t>
  </si>
  <si>
    <t>Nota: Indicadores calculados con supuestos del flujo de caja y proyección de ventas. Ajuste ingresos/egresos para recalcular automáticamente.</t>
  </si>
  <si>
    <t>Desarrollador Junior (OPS)</t>
  </si>
  <si>
    <t>Auxiliar Operativo</t>
  </si>
  <si>
    <t>Director de Proyecto</t>
  </si>
  <si>
    <t>WhatsApp Business API</t>
  </si>
  <si>
    <t>Producción de Video Promocional y Tutoriales</t>
  </si>
  <si>
    <t>Computadores Portátiles de Alto Rendimiento (2 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</si>
</sst>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3" borderId="0" xfId="0" applyFill="1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Distribución del Presupuesto (COP)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RESUMEN!$B$3</c:f>
              <c:strCache>
                <c:ptCount val="1"/>
                <c:pt idx="0">
                  <c:v>Valor (COP)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RESUMEN!$A$4:$A$7</c:f>
              <c:strCache>
                <c:ptCount val="4"/>
                <c:pt idx="0">
                  <c:v>Talento Humano</c:v>
                </c:pt>
                <c:pt idx="1">
                  <c:v>Infraestructura Tecnológica</c:v>
                </c:pt>
                <c:pt idx="2">
                  <c:v>Mercadeo y Ventas</c:v>
                </c:pt>
                <c:pt idx="3">
                  <c:v>Legal y Activos</c:v>
                </c:pt>
              </c:strCache>
            </c:strRef>
          </c:cat>
          <c:val>
            <c:numRef>
              <c:f>RESUMEN!$B$4:$B$7</c:f>
              <c:numCache>
                <c:formatCode>\$#,##0</c:formatCode>
                <c:ptCount val="4"/>
                <c:pt idx="0">
                  <c:v>75000000</c:v>
                </c:pt>
                <c:pt idx="1">
                  <c:v>36000000</c:v>
                </c:pt>
                <c:pt idx="2">
                  <c:v>10000000</c:v>
                </c:pt>
                <c:pt idx="3">
                  <c:v>5000000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A-4166-B255-F27452621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Ventas Totales por Año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'PROYECCIÓN VENTAS'!$D$3</c:f>
              <c:strCache>
                <c:ptCount val="1"/>
                <c:pt idx="0">
                  <c:v>Total Ventas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'PROYECCIÓN VENTAS'!$A$4:$A$6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'PROYECCIÓN VENTAS'!$D$4:$D$6</c:f>
              <c:numCache>
                <c:formatCode>\$#,##0</c:formatCode>
                <c:ptCount val="3"/>
                <c:pt idx="0">
                  <c:v>24000000</c:v>
                </c:pt>
                <c:pt idx="1">
                  <c:v>72000000</c:v>
                </c:pt>
                <c:pt idx="2">
                  <c:v>180000000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0-4F40-8965-35A777645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Año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COP</a:t>
                </a:r>
              </a:p>
            </c:rich>
          </c:tx>
          <c:layout/>
          <c:overlay val="0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2171700</xdr:colOff>
      <xdr:row>1</xdr:row>
      <xdr:rowOff>114300</xdr:rowOff>
    </xdr:from>
    <xdr:ext cx="5798820" cy="324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16" sqref="A16"/>
    </sheetView>
  </sheetViews>
  <sheetFormatPr baseColWidth="10" defaultColWidth="8.88671875" defaultRowHeight="14.4" x14ac:dyDescent="0.3"/>
  <cols>
    <col min="1" max="1" width="30" customWidth="1"/>
    <col min="2" max="2" width="18" customWidth="1"/>
    <col min="3" max="3" width="3" customWidth="1"/>
    <col min="4" max="4" width="35" customWidth="1"/>
  </cols>
  <sheetData>
    <row r="1" spans="1:4" ht="18" x14ac:dyDescent="0.35">
      <c r="A1" s="9" t="s">
        <v>0</v>
      </c>
      <c r="B1" s="8"/>
      <c r="C1" s="8"/>
      <c r="D1" s="8"/>
    </row>
    <row r="3" spans="1:4" x14ac:dyDescent="0.3">
      <c r="A3" s="1" t="s">
        <v>1</v>
      </c>
      <c r="B3" s="1" t="s">
        <v>2</v>
      </c>
    </row>
    <row r="4" spans="1:4" x14ac:dyDescent="0.3">
      <c r="A4" s="2" t="s">
        <v>3</v>
      </c>
      <c r="B4" s="3">
        <v>75000000</v>
      </c>
    </row>
    <row r="5" spans="1:4" x14ac:dyDescent="0.3">
      <c r="A5" s="2" t="s">
        <v>4</v>
      </c>
      <c r="B5" s="3">
        <v>36000000</v>
      </c>
    </row>
    <row r="6" spans="1:4" x14ac:dyDescent="0.3">
      <c r="A6" s="2" t="s">
        <v>5</v>
      </c>
      <c r="B6" s="3">
        <v>10000000</v>
      </c>
    </row>
    <row r="7" spans="1:4" x14ac:dyDescent="0.3">
      <c r="A7" s="2" t="s">
        <v>6</v>
      </c>
      <c r="B7" s="3">
        <v>5000000</v>
      </c>
    </row>
    <row r="8" spans="1:4" x14ac:dyDescent="0.3">
      <c r="A8" s="4" t="s">
        <v>7</v>
      </c>
      <c r="B8" s="5">
        <f>SUM(B4:B7)</f>
        <v>126000000</v>
      </c>
    </row>
    <row r="10" spans="1:4" x14ac:dyDescent="0.3">
      <c r="A10" s="7" t="s">
        <v>8</v>
      </c>
      <c r="B10" s="8"/>
      <c r="C10" s="8"/>
      <c r="D10" s="8"/>
    </row>
    <row r="11" spans="1:4" x14ac:dyDescent="0.3">
      <c r="A11" s="8"/>
      <c r="B11" s="8"/>
      <c r="C11" s="8"/>
      <c r="D11" s="8"/>
    </row>
    <row r="12" spans="1:4" x14ac:dyDescent="0.3">
      <c r="A12" s="8"/>
      <c r="B12" s="8"/>
      <c r="C12" s="8"/>
      <c r="D12" s="8"/>
    </row>
  </sheetData>
  <mergeCells count="2">
    <mergeCell ref="A10:D12"/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6" sqref="D6"/>
    </sheetView>
  </sheetViews>
  <sheetFormatPr baseColWidth="10" defaultColWidth="8.88671875" defaultRowHeight="14.4" x14ac:dyDescent="0.3"/>
  <cols>
    <col min="1" max="1" width="28" customWidth="1"/>
    <col min="2" max="3" width="10" customWidth="1"/>
    <col min="4" max="5" width="16" customWidth="1"/>
  </cols>
  <sheetData>
    <row r="1" spans="1:5" ht="18" x14ac:dyDescent="0.35">
      <c r="A1" s="9" t="s">
        <v>9</v>
      </c>
      <c r="B1" s="8"/>
      <c r="C1" s="8"/>
      <c r="D1" s="8"/>
      <c r="E1" s="8"/>
    </row>
    <row r="3" spans="1:5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">
      <c r="A4" s="2" t="s">
        <v>73</v>
      </c>
      <c r="B4" s="2">
        <v>1</v>
      </c>
      <c r="C4" s="2">
        <v>12</v>
      </c>
      <c r="D4" s="3">
        <v>2000000</v>
      </c>
      <c r="E4" s="3">
        <f>B4*C4*D4</f>
        <v>24000000</v>
      </c>
    </row>
    <row r="5" spans="1:5" x14ac:dyDescent="0.3">
      <c r="A5" s="2" t="s">
        <v>74</v>
      </c>
      <c r="B5" s="2">
        <v>1</v>
      </c>
      <c r="C5" s="2">
        <v>6</v>
      </c>
      <c r="D5" s="3">
        <v>1500000</v>
      </c>
      <c r="E5" s="3">
        <f>B5*C5*D5</f>
        <v>9000000</v>
      </c>
    </row>
    <row r="6" spans="1:5" x14ac:dyDescent="0.3">
      <c r="A6" s="2" t="s">
        <v>75</v>
      </c>
      <c r="B6" s="2">
        <v>1</v>
      </c>
      <c r="C6" s="2">
        <v>12</v>
      </c>
      <c r="D6" s="3">
        <v>3500000</v>
      </c>
      <c r="E6" s="3">
        <f>B6*C6*D6</f>
        <v>42000000</v>
      </c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4" t="s">
        <v>15</v>
      </c>
      <c r="E8" s="5">
        <f>SUM(E4:E6)</f>
        <v>75000000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C6" sqref="C6"/>
    </sheetView>
  </sheetViews>
  <sheetFormatPr baseColWidth="10" defaultColWidth="8.88671875" defaultRowHeight="14.4" x14ac:dyDescent="0.3"/>
  <cols>
    <col min="1" max="1" width="48" customWidth="1"/>
    <col min="2" max="2" width="10" customWidth="1"/>
    <col min="3" max="4" width="16" customWidth="1"/>
  </cols>
  <sheetData>
    <row r="1" spans="1:4" ht="18" x14ac:dyDescent="0.35">
      <c r="A1" s="9" t="s">
        <v>4</v>
      </c>
      <c r="B1" s="8"/>
      <c r="C1" s="8"/>
      <c r="D1" s="8"/>
    </row>
    <row r="3" spans="1:4" x14ac:dyDescent="0.3">
      <c r="A3" s="1" t="s">
        <v>16</v>
      </c>
      <c r="B3" s="1" t="s">
        <v>11</v>
      </c>
      <c r="C3" s="1" t="s">
        <v>17</v>
      </c>
      <c r="D3" s="1" t="s">
        <v>14</v>
      </c>
    </row>
    <row r="4" spans="1:4" x14ac:dyDescent="0.3">
      <c r="A4" s="2" t="s">
        <v>18</v>
      </c>
      <c r="B4" s="2">
        <v>1</v>
      </c>
      <c r="C4" s="3">
        <v>12000000</v>
      </c>
      <c r="D4" s="3">
        <f>B4*C4</f>
        <v>12000000</v>
      </c>
    </row>
    <row r="5" spans="1:4" x14ac:dyDescent="0.3">
      <c r="A5" s="2" t="s">
        <v>19</v>
      </c>
      <c r="B5" s="2">
        <v>1</v>
      </c>
      <c r="C5" s="3">
        <v>18000000</v>
      </c>
      <c r="D5" s="3">
        <f>B5*C5</f>
        <v>18000000</v>
      </c>
    </row>
    <row r="6" spans="1:4" x14ac:dyDescent="0.3">
      <c r="A6" s="2" t="s">
        <v>76</v>
      </c>
      <c r="B6" s="2">
        <v>2</v>
      </c>
      <c r="C6" s="3">
        <v>3000000</v>
      </c>
      <c r="D6" s="3">
        <f>B6*C6</f>
        <v>6000000</v>
      </c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4" t="s">
        <v>20</v>
      </c>
      <c r="D8" s="5">
        <f>SUM(D4:D6)</f>
        <v>36000000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A16" sqref="A16"/>
    </sheetView>
  </sheetViews>
  <sheetFormatPr baseColWidth="10" defaultColWidth="8.88671875" defaultRowHeight="14.4" x14ac:dyDescent="0.3"/>
  <cols>
    <col min="1" max="1" width="45" customWidth="1"/>
    <col min="2" max="2" width="10" customWidth="1"/>
    <col min="3" max="4" width="16" customWidth="1"/>
  </cols>
  <sheetData>
    <row r="1" spans="1:4" ht="18" x14ac:dyDescent="0.35">
      <c r="A1" s="9" t="s">
        <v>5</v>
      </c>
      <c r="B1" s="8"/>
      <c r="C1" s="8"/>
      <c r="D1" s="8"/>
    </row>
    <row r="3" spans="1:4" x14ac:dyDescent="0.3">
      <c r="A3" s="1" t="s">
        <v>21</v>
      </c>
      <c r="B3" s="1" t="s">
        <v>11</v>
      </c>
      <c r="C3" s="1" t="s">
        <v>22</v>
      </c>
      <c r="D3" s="1" t="s">
        <v>14</v>
      </c>
    </row>
    <row r="4" spans="1:4" x14ac:dyDescent="0.3">
      <c r="A4" s="2" t="s">
        <v>23</v>
      </c>
      <c r="B4" s="2">
        <v>6</v>
      </c>
      <c r="C4" s="3">
        <v>1000000</v>
      </c>
      <c r="D4" s="3">
        <f>B4*C4</f>
        <v>6000000</v>
      </c>
    </row>
    <row r="5" spans="1:4" x14ac:dyDescent="0.3">
      <c r="A5" s="2" t="s">
        <v>24</v>
      </c>
      <c r="B5" s="2">
        <v>1</v>
      </c>
      <c r="C5" s="3">
        <v>2000000</v>
      </c>
      <c r="D5" s="3">
        <f>B5*C5</f>
        <v>2000000</v>
      </c>
    </row>
    <row r="6" spans="1:4" x14ac:dyDescent="0.3">
      <c r="A6" s="2" t="s">
        <v>77</v>
      </c>
      <c r="B6" s="2">
        <v>4</v>
      </c>
      <c r="C6" s="3">
        <v>500000</v>
      </c>
      <c r="D6" s="3">
        <f>B6*C6</f>
        <v>2000000</v>
      </c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4" t="s">
        <v>25</v>
      </c>
      <c r="D8" s="5">
        <f>SUM(D4:D6)</f>
        <v>10000000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10" sqref="D10"/>
    </sheetView>
  </sheetViews>
  <sheetFormatPr baseColWidth="10" defaultColWidth="8.88671875" defaultRowHeight="14.4" x14ac:dyDescent="0.3"/>
  <cols>
    <col min="1" max="1" width="48.88671875" customWidth="1"/>
    <col min="2" max="2" width="10" customWidth="1"/>
    <col min="3" max="4" width="16" customWidth="1"/>
  </cols>
  <sheetData>
    <row r="1" spans="1:4" ht="18" x14ac:dyDescent="0.35">
      <c r="A1" s="9" t="s">
        <v>6</v>
      </c>
      <c r="B1" s="8"/>
      <c r="C1" s="8"/>
      <c r="D1" s="8"/>
    </row>
    <row r="3" spans="1:4" x14ac:dyDescent="0.3">
      <c r="A3" s="1" t="s">
        <v>16</v>
      </c>
      <c r="B3" s="1" t="s">
        <v>11</v>
      </c>
      <c r="C3" s="1" t="s">
        <v>22</v>
      </c>
      <c r="D3" s="1" t="s">
        <v>14</v>
      </c>
    </row>
    <row r="4" spans="1:4" x14ac:dyDescent="0.3">
      <c r="A4" s="2"/>
      <c r="B4" s="2"/>
      <c r="C4" s="3"/>
      <c r="D4" s="3"/>
    </row>
    <row r="5" spans="1:4" x14ac:dyDescent="0.3">
      <c r="A5" s="2" t="s">
        <v>26</v>
      </c>
      <c r="B5" s="2">
        <v>1</v>
      </c>
      <c r="C5" s="3">
        <v>1000000</v>
      </c>
      <c r="D5" s="3">
        <f>B5*C5</f>
        <v>1000000</v>
      </c>
    </row>
    <row r="6" spans="1:4" x14ac:dyDescent="0.3">
      <c r="A6" s="2" t="s">
        <v>78</v>
      </c>
      <c r="B6" s="2">
        <v>2</v>
      </c>
      <c r="C6" s="3">
        <v>2000000</v>
      </c>
      <c r="D6" s="3">
        <f>B6*C6</f>
        <v>4000000</v>
      </c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4" t="s">
        <v>27</v>
      </c>
      <c r="D8" s="5">
        <f>SUM(D4:D6)</f>
        <v>5000000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zoomScale="90" workbookViewId="0">
      <selection activeCell="M5" sqref="M5"/>
    </sheetView>
  </sheetViews>
  <sheetFormatPr baseColWidth="10" defaultColWidth="8.88671875" defaultRowHeight="14.4" x14ac:dyDescent="0.3"/>
  <cols>
    <col min="1" max="1" width="16" customWidth="1"/>
    <col min="2" max="13" width="12" customWidth="1"/>
  </cols>
  <sheetData>
    <row r="1" spans="1:14" ht="18" x14ac:dyDescent="0.35">
      <c r="A1" s="9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spans="1:14" x14ac:dyDescent="0.3">
      <c r="A3" s="1" t="s">
        <v>16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</row>
    <row r="4" spans="1:14" x14ac:dyDescent="0.3">
      <c r="A4" s="2" t="s">
        <v>41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2000000</v>
      </c>
      <c r="I4" s="3">
        <v>2000000</v>
      </c>
      <c r="J4" s="3">
        <v>2000000</v>
      </c>
      <c r="K4" s="3">
        <v>2000000</v>
      </c>
      <c r="L4" s="3">
        <v>2000000</v>
      </c>
      <c r="M4" s="3">
        <v>2000000</v>
      </c>
    </row>
    <row r="5" spans="1:14" x14ac:dyDescent="0.3">
      <c r="A5" s="2" t="s">
        <v>42</v>
      </c>
      <c r="B5" s="3">
        <v>10500000</v>
      </c>
      <c r="C5" s="3">
        <v>10500000</v>
      </c>
      <c r="D5" s="3">
        <v>10500000</v>
      </c>
      <c r="E5" s="3">
        <v>10500000</v>
      </c>
      <c r="F5" s="3">
        <v>10500000</v>
      </c>
      <c r="G5" s="3">
        <v>10500000</v>
      </c>
      <c r="H5" s="3">
        <v>10500000</v>
      </c>
      <c r="I5" s="3">
        <v>10500000</v>
      </c>
      <c r="J5" s="3">
        <v>10500000</v>
      </c>
      <c r="K5" s="3">
        <v>10500000</v>
      </c>
      <c r="L5" s="3">
        <v>10500000</v>
      </c>
      <c r="M5" s="3">
        <v>10500000</v>
      </c>
    </row>
    <row r="6" spans="1:14" x14ac:dyDescent="0.3">
      <c r="A6" s="2" t="s">
        <v>43</v>
      </c>
      <c r="B6" s="3">
        <f t="shared" ref="B6:M6" si="0">B4-B5</f>
        <v>-10500000</v>
      </c>
      <c r="C6" s="3">
        <f t="shared" si="0"/>
        <v>-10500000</v>
      </c>
      <c r="D6" s="3">
        <f t="shared" si="0"/>
        <v>-10500000</v>
      </c>
      <c r="E6" s="3">
        <f t="shared" si="0"/>
        <v>-10500000</v>
      </c>
      <c r="F6" s="3">
        <f t="shared" si="0"/>
        <v>-10500000</v>
      </c>
      <c r="G6" s="3">
        <f t="shared" si="0"/>
        <v>-10500000</v>
      </c>
      <c r="H6" s="3">
        <f t="shared" si="0"/>
        <v>-8500000</v>
      </c>
      <c r="I6" s="3">
        <f t="shared" si="0"/>
        <v>-8500000</v>
      </c>
      <c r="J6" s="3">
        <f t="shared" si="0"/>
        <v>-8500000</v>
      </c>
      <c r="K6" s="3">
        <f t="shared" si="0"/>
        <v>-8500000</v>
      </c>
      <c r="L6" s="3">
        <f t="shared" si="0"/>
        <v>-8500000</v>
      </c>
      <c r="M6" s="3">
        <f t="shared" si="0"/>
        <v>-8500000</v>
      </c>
    </row>
    <row r="8" spans="1:14" x14ac:dyDescent="0.3">
      <c r="A8" s="7" t="s">
        <v>44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</sheetData>
  <mergeCells count="2">
    <mergeCell ref="A8:N9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10" sqref="D10"/>
    </sheetView>
  </sheetViews>
  <sheetFormatPr baseColWidth="10" defaultColWidth="8.88671875" defaultRowHeight="14.4" x14ac:dyDescent="0.3"/>
  <cols>
    <col min="1" max="1" width="10" customWidth="1"/>
    <col min="2" max="2" width="14" customWidth="1"/>
    <col min="3" max="3" width="22" customWidth="1"/>
    <col min="4" max="4" width="16" customWidth="1"/>
  </cols>
  <sheetData>
    <row r="1" spans="1:4" ht="18" x14ac:dyDescent="0.35">
      <c r="A1" s="9" t="s">
        <v>45</v>
      </c>
      <c r="B1" s="8"/>
      <c r="C1" s="8"/>
      <c r="D1" s="8"/>
    </row>
    <row r="3" spans="1:4" x14ac:dyDescent="0.3">
      <c r="A3" s="1" t="s">
        <v>46</v>
      </c>
      <c r="B3" s="1" t="s">
        <v>47</v>
      </c>
      <c r="C3" s="1" t="s">
        <v>48</v>
      </c>
      <c r="D3" s="1" t="s">
        <v>49</v>
      </c>
    </row>
    <row r="4" spans="1:4" x14ac:dyDescent="0.3">
      <c r="A4" s="2">
        <v>1</v>
      </c>
      <c r="B4" s="2">
        <v>2</v>
      </c>
      <c r="C4" s="3">
        <v>12000000</v>
      </c>
      <c r="D4" s="3">
        <f>B4*C4</f>
        <v>24000000</v>
      </c>
    </row>
    <row r="5" spans="1:4" x14ac:dyDescent="0.3">
      <c r="A5" s="2">
        <v>2</v>
      </c>
      <c r="B5" s="2">
        <v>6</v>
      </c>
      <c r="C5" s="3">
        <v>12000000</v>
      </c>
      <c r="D5" s="3">
        <f>B5*C5</f>
        <v>72000000</v>
      </c>
    </row>
    <row r="6" spans="1:4" x14ac:dyDescent="0.3">
      <c r="A6" s="2">
        <v>3</v>
      </c>
      <c r="B6" s="2">
        <v>15</v>
      </c>
      <c r="C6" s="3">
        <v>12000000</v>
      </c>
      <c r="D6" s="3">
        <f>B6*C6</f>
        <v>180000000</v>
      </c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4" t="s">
        <v>50</v>
      </c>
      <c r="D8" s="5">
        <f>SUM(D4:D6)</f>
        <v>276000000</v>
      </c>
    </row>
  </sheetData>
  <mergeCells count="1">
    <mergeCell ref="A1:D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zoomScale="99" workbookViewId="0">
      <selection activeCell="D7" sqref="D7"/>
    </sheetView>
  </sheetViews>
  <sheetFormatPr baseColWidth="10" defaultColWidth="8.88671875" defaultRowHeight="14.4" x14ac:dyDescent="0.3"/>
  <cols>
    <col min="1" max="1" width="28" customWidth="1"/>
    <col min="2" max="2" width="26" customWidth="1"/>
    <col min="3" max="3" width="18" customWidth="1"/>
    <col min="4" max="4" width="39.33203125" customWidth="1"/>
  </cols>
  <sheetData>
    <row r="1" spans="1:4" ht="18" x14ac:dyDescent="0.35">
      <c r="A1" s="9" t="s">
        <v>51</v>
      </c>
      <c r="B1" s="8"/>
      <c r="C1" s="8"/>
      <c r="D1" s="8"/>
    </row>
    <row r="3" spans="1:4" x14ac:dyDescent="0.3">
      <c r="A3" s="1" t="s">
        <v>52</v>
      </c>
      <c r="B3" s="1" t="s">
        <v>53</v>
      </c>
      <c r="C3" s="1" t="s">
        <v>54</v>
      </c>
      <c r="D3" s="1" t="s">
        <v>55</v>
      </c>
    </row>
    <row r="4" spans="1:4" x14ac:dyDescent="0.3">
      <c r="A4" s="2" t="s">
        <v>56</v>
      </c>
      <c r="B4" s="2">
        <f>RESUMEN!B8</f>
        <v>126000000</v>
      </c>
      <c r="C4" s="3">
        <f>RESUMEN!B8</f>
        <v>126000000</v>
      </c>
      <c r="D4" s="2" t="s">
        <v>57</v>
      </c>
    </row>
    <row r="5" spans="1:4" x14ac:dyDescent="0.3">
      <c r="A5" s="2" t="s">
        <v>58</v>
      </c>
      <c r="B5" s="2">
        <f>'DETALLE NÓMINA'!E8</f>
        <v>75000000</v>
      </c>
      <c r="C5" s="3">
        <f>'DETALLE NÓMINA'!E8</f>
        <v>75000000</v>
      </c>
      <c r="D5" s="2" t="s">
        <v>59</v>
      </c>
    </row>
    <row r="6" spans="1:4" x14ac:dyDescent="0.3">
      <c r="A6" s="2" t="s">
        <v>60</v>
      </c>
      <c r="B6" s="2">
        <f>TECNOLOGÍA!D8</f>
        <v>36000000</v>
      </c>
      <c r="C6" s="3">
        <f>TECNOLOGÍA!D8</f>
        <v>36000000</v>
      </c>
      <c r="D6" s="2" t="s">
        <v>61</v>
      </c>
    </row>
    <row r="7" spans="1:4" x14ac:dyDescent="0.3">
      <c r="A7" s="2" t="s">
        <v>62</v>
      </c>
      <c r="B7" s="2">
        <f>'MERCADEO Y VENTAS'!D8</f>
        <v>10000000</v>
      </c>
      <c r="C7" s="3">
        <f>'MERCADEO Y VENTAS'!D8</f>
        <v>10000000</v>
      </c>
      <c r="D7" s="2" t="s">
        <v>63</v>
      </c>
    </row>
    <row r="8" spans="1:4" x14ac:dyDescent="0.3">
      <c r="A8" s="2" t="s">
        <v>64</v>
      </c>
      <c r="B8" s="2">
        <f>'LEGAL Y ACTIVOS'!D8</f>
        <v>5000000</v>
      </c>
      <c r="C8" s="3">
        <f>'LEGAL Y ACTIVOS'!D8</f>
        <v>5000000</v>
      </c>
      <c r="D8" s="2" t="s">
        <v>65</v>
      </c>
    </row>
    <row r="9" spans="1:4" x14ac:dyDescent="0.3">
      <c r="A9" s="2"/>
      <c r="B9" s="2"/>
      <c r="C9" s="2"/>
      <c r="D9" s="2"/>
    </row>
    <row r="10" spans="1:4" x14ac:dyDescent="0.3">
      <c r="A10" s="2" t="s">
        <v>66</v>
      </c>
      <c r="B10" s="2">
        <v>2000000</v>
      </c>
      <c r="C10" s="3">
        <v>2000000</v>
      </c>
      <c r="D10" s="2" t="s">
        <v>67</v>
      </c>
    </row>
    <row r="11" spans="1:4" x14ac:dyDescent="0.3">
      <c r="A11" s="2" t="s">
        <v>68</v>
      </c>
      <c r="B11" s="2">
        <v>10500000</v>
      </c>
      <c r="C11" s="3">
        <v>10500000</v>
      </c>
      <c r="D11" s="2" t="s">
        <v>69</v>
      </c>
    </row>
    <row r="12" spans="1:4" x14ac:dyDescent="0.3">
      <c r="A12" s="2" t="s">
        <v>70</v>
      </c>
      <c r="B12" s="2">
        <f>C4/C11</f>
        <v>12</v>
      </c>
      <c r="C12" s="6">
        <f>C4/C11</f>
        <v>12</v>
      </c>
      <c r="D12" s="2" t="s">
        <v>71</v>
      </c>
    </row>
    <row r="14" spans="1:4" x14ac:dyDescent="0.3">
      <c r="A14" s="7" t="s">
        <v>72</v>
      </c>
      <c r="B14" s="8"/>
      <c r="C14" s="8"/>
      <c r="D14" s="8"/>
    </row>
    <row r="15" spans="1:4" x14ac:dyDescent="0.3">
      <c r="A15" s="8"/>
      <c r="B15" s="8"/>
      <c r="C15" s="8"/>
      <c r="D15" s="8"/>
    </row>
    <row r="16" spans="1:4" x14ac:dyDescent="0.3">
      <c r="A16" s="8"/>
      <c r="B16" s="8"/>
      <c r="C16" s="8"/>
      <c r="D16" s="8"/>
    </row>
  </sheetData>
  <mergeCells count="2">
    <mergeCell ref="A1:D1"/>
    <mergeCell ref="A14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</vt:lpstr>
      <vt:lpstr>DETALLE NÓMINA</vt:lpstr>
      <vt:lpstr>TECNOLOGÍA</vt:lpstr>
      <vt:lpstr>MERCADEO Y VENTAS</vt:lpstr>
      <vt:lpstr>LEGAL Y ACTIVOS</vt:lpstr>
      <vt:lpstr>FLUJO DE CAJA</vt:lpstr>
      <vt:lpstr>PROYECCIÓN VENTAS</vt:lpstr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2026-01-18T03:14:12Z</dcterms:created>
  <dcterms:modified xsi:type="dcterms:W3CDTF">2026-01-18T06:37:00Z</dcterms:modified>
</cp:coreProperties>
</file>